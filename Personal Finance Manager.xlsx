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nsactions" sheetId="2" state="visible" r:id="rId2"/>
    <sheet name="Categories" sheetId="3" state="visible" r:id="rId3"/>
    <sheet name="Monthly Summary" sheetId="4" state="visible" r:id="rId4"/>
    <sheet name="Savings Goals" sheetId="5" state="visible" r:id="rId5"/>
    <sheet name="How to 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a1a2e"/>
      <sz val="22"/>
    </font>
    <font>
      <name val="Segoe UI"/>
      <color rgb="00888888"/>
      <sz val="12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a1a2e"/>
      <sz val="18"/>
    </font>
    <font>
      <name val="Segoe UI"/>
      <b val="1"/>
      <color rgb="00e94560"/>
      <sz val="12"/>
    </font>
    <font>
      <name val="Segoe UI"/>
      <b val="1"/>
      <color rgb="001a1a2e"/>
      <sz val="10"/>
    </font>
    <font>
      <name val="Segoe UI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2ecc71"/>
      </patternFill>
    </fill>
    <fill>
      <patternFill patternType="solid">
        <fgColor rgb="00e74c3c"/>
      </patternFill>
    </fill>
    <fill>
      <patternFill patternType="solid">
        <fgColor rgb="00e94560"/>
      </patternFill>
    </fill>
    <fill>
      <patternFill patternType="solid">
        <fgColor rgb="000f3460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4" fontId="4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6" borderId="1" pivotButton="0" quotePrefix="0" xfId="0"/>
    <xf numFmtId="4" fontId="7" fillId="6" borderId="1" pivotButton="0" quotePrefix="0" xfId="0"/>
    <xf numFmtId="9" fontId="7" fillId="6" borderId="1" pivotButton="0" quotePrefix="0" xfId="0"/>
    <xf numFmtId="0" fontId="7" fillId="0" borderId="1" pivotButton="0" quotePrefix="0" xfId="0"/>
    <xf numFmtId="4" fontId="7" fillId="0" borderId="1" pivotButton="0" quotePrefix="0" xfId="0"/>
    <xf numFmtId="9" fontId="7" fillId="0" borderId="1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'Dashboard'!C15</f>
            </strRef>
          </tx>
          <spPr>
            <a:ln>
              <a:prstDash val="solid"/>
            </a:ln>
          </spPr>
          <cat>
            <numRef>
              <f>'Dashboard'!$A$16:$A$23</f>
            </numRef>
          </cat>
          <val>
            <numRef>
              <f>'Dashboard'!$C$16:$C$23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Summary'!B3</f>
            </strRef>
          </tx>
          <spPr>
            <a:ln>
              <a:prstDash val="solid"/>
            </a:ln>
          </spPr>
          <cat>
            <numRef>
              <f>'Monthly Summary'!$A$4:$A$15</f>
            </numRef>
          </cat>
          <val>
            <numRef>
              <f>'Monthly Summary'!$B$4:$B$15</f>
            </numRef>
          </val>
        </ser>
        <ser>
          <idx val="1"/>
          <order val="1"/>
          <tx>
            <strRef>
              <f>'Monthly Summary'!C3</f>
            </strRef>
          </tx>
          <spPr>
            <a:ln>
              <a:prstDash val="solid"/>
            </a:ln>
          </spPr>
          <cat>
            <numRef>
              <f>'Monthly Summary'!$A$4:$A$15</f>
            </numRef>
          </cat>
          <val>
            <numRef>
              <f>'Monthly Summary'!$C$4:$C$15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Personal Finance Manager</t>
        </is>
      </c>
    </row>
    <row r="2">
      <c r="A2" s="2" t="inlineStr">
        <is>
          <t>Financial Dashboard</t>
        </is>
      </c>
    </row>
    <row r="4">
      <c r="A4" s="3" t="inlineStr">
        <is>
          <t>Total Income</t>
        </is>
      </c>
      <c r="C4" s="4">
        <f>SUM(Transactions!G:G)</f>
        <v/>
      </c>
    </row>
    <row r="5">
      <c r="A5" s="5" t="inlineStr">
        <is>
          <t>Total Expenses</t>
        </is>
      </c>
      <c r="C5" s="4">
        <f>SUM(Transactions!H:H)</f>
        <v/>
      </c>
    </row>
    <row r="6">
      <c r="A6" s="6" t="inlineStr">
        <is>
          <t>Net Savings</t>
        </is>
      </c>
      <c r="C6" s="4">
        <f>B4-B5</f>
        <v/>
      </c>
    </row>
    <row r="7">
      <c r="A7" s="7" t="inlineStr">
        <is>
          <t>Monthly Budget</t>
        </is>
      </c>
      <c r="C7" s="4" t="n">
        <v>5000</v>
      </c>
    </row>
    <row r="9">
      <c r="A9" s="8" t="inlineStr">
        <is>
          <t>Expenses by Category</t>
        </is>
      </c>
      <c r="D9" s="8" t="inlineStr">
        <is>
          <t>Income vs Expenses</t>
        </is>
      </c>
    </row>
    <row r="14">
      <c r="A14" s="8" t="inlineStr">
        <is>
          <t>Budget vs Actual</t>
        </is>
      </c>
    </row>
    <row r="15">
      <c r="A15" s="9" t="inlineStr">
        <is>
          <t>Category</t>
        </is>
      </c>
      <c r="B15" s="9" t="inlineStr">
        <is>
          <t>Budget</t>
        </is>
      </c>
      <c r="C15" s="9" t="inlineStr">
        <is>
          <t>Actual</t>
        </is>
      </c>
      <c r="D15" s="9" t="inlineStr">
        <is>
          <t>Remaining</t>
        </is>
      </c>
      <c r="E15" s="9" t="inlineStr">
        <is>
          <t>% Used</t>
        </is>
      </c>
    </row>
    <row r="16">
      <c r="A16" s="10" t="inlineStr">
        <is>
          <t>Housing</t>
        </is>
      </c>
      <c r="B16" s="11" t="n">
        <v>1200</v>
      </c>
      <c r="C16" s="11">
        <f>SUMIF(Categories!A:A,A16,Categories!B:B)</f>
        <v/>
      </c>
      <c r="D16" s="11">
        <f>B16-C16</f>
        <v/>
      </c>
      <c r="E16" s="12">
        <f>IF(B16=0,0,C16/B16)</f>
        <v/>
      </c>
    </row>
    <row r="17">
      <c r="A17" s="13" t="inlineStr">
        <is>
          <t>Food</t>
        </is>
      </c>
      <c r="B17" s="14" t="n">
        <v>600</v>
      </c>
      <c r="C17" s="14">
        <f>SUMIF(Categories!A:A,A17,Categories!B:B)</f>
        <v/>
      </c>
      <c r="D17" s="14">
        <f>B17-C17</f>
        <v/>
      </c>
      <c r="E17" s="15">
        <f>IF(B17=0,0,C17/B17)</f>
        <v/>
      </c>
    </row>
    <row r="18">
      <c r="A18" s="10" t="inlineStr">
        <is>
          <t>Transport</t>
        </is>
      </c>
      <c r="B18" s="11" t="n">
        <v>400</v>
      </c>
      <c r="C18" s="11">
        <f>SUMIF(Categories!A:A,A18,Categories!B:B)</f>
        <v/>
      </c>
      <c r="D18" s="11">
        <f>B18-C18</f>
        <v/>
      </c>
      <c r="E18" s="12">
        <f>IF(B18=0,0,C18/B18)</f>
        <v/>
      </c>
    </row>
    <row r="19">
      <c r="A19" s="13" t="inlineStr">
        <is>
          <t>Entertainment</t>
        </is>
      </c>
      <c r="B19" s="14" t="n">
        <v>200</v>
      </c>
      <c r="C19" s="14">
        <f>SUMIF(Categories!A:A,A19,Categories!B:B)</f>
        <v/>
      </c>
      <c r="D19" s="14">
        <f>B19-C19</f>
        <v/>
      </c>
      <c r="E19" s="15">
        <f>IF(B19=0,0,C19/B19)</f>
        <v/>
      </c>
    </row>
    <row r="20">
      <c r="A20" s="10" t="inlineStr">
        <is>
          <t>Utilities</t>
        </is>
      </c>
      <c r="B20" s="11" t="n">
        <v>300</v>
      </c>
      <c r="C20" s="11">
        <f>SUMIF(Categories!A:A,A20,Categories!B:B)</f>
        <v/>
      </c>
      <c r="D20" s="11">
        <f>B20-C20</f>
        <v/>
      </c>
      <c r="E20" s="12">
        <f>IF(B20=0,0,C20/B20)</f>
        <v/>
      </c>
    </row>
    <row r="21">
      <c r="A21" s="13" t="inlineStr">
        <is>
          <t>Insurance</t>
        </is>
      </c>
      <c r="B21" s="14" t="n">
        <v>250</v>
      </c>
      <c r="C21" s="14">
        <f>SUMIF(Categories!A:A,A21,Categories!B:B)</f>
        <v/>
      </c>
      <c r="D21" s="14">
        <f>B21-C21</f>
        <v/>
      </c>
      <c r="E21" s="15">
        <f>IF(B21=0,0,C21/B21)</f>
        <v/>
      </c>
    </row>
    <row r="22">
      <c r="A22" s="10" t="inlineStr">
        <is>
          <t>Savings</t>
        </is>
      </c>
      <c r="B22" s="11" t="n">
        <v>500</v>
      </c>
      <c r="C22" s="11">
        <f>SUMIF(Categories!A:A,A22,Categories!B:B)</f>
        <v/>
      </c>
      <c r="D22" s="11">
        <f>B22-C22</f>
        <v/>
      </c>
      <c r="E22" s="12">
        <f>IF(B22=0,0,C22/B22)</f>
        <v/>
      </c>
    </row>
    <row r="23">
      <c r="A23" s="13" t="inlineStr">
        <is>
          <t>Other</t>
        </is>
      </c>
      <c r="B23" s="14" t="n">
        <v>200</v>
      </c>
      <c r="C23" s="14">
        <f>SUMIF(Categories!A:A,A23,Categories!B:B)</f>
        <v/>
      </c>
      <c r="D23" s="14">
        <f>B23-C23</f>
        <v/>
      </c>
      <c r="E23" s="15">
        <f>IF(B23=0,0,C23/B23)</f>
        <v/>
      </c>
    </row>
  </sheetData>
  <mergeCells count="5">
    <mergeCell ref="A4:B4"/>
    <mergeCell ref="A7:B7"/>
    <mergeCell ref="A1:F1"/>
    <mergeCell ref="A5:B5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2" customWidth="1" min="4" max="4"/>
    <col width="16" customWidth="1" min="5" max="5"/>
    <col width="12" customWidth="1" min="6" max="6"/>
    <col width="16" customWidth="1" min="7" max="7"/>
    <col width="16" customWidth="1" min="8" max="8"/>
  </cols>
  <sheetData>
    <row r="1">
      <c r="A1" s="16" t="inlineStr">
        <is>
          <t>Income &amp; Expense Log</t>
        </is>
      </c>
    </row>
    <row r="3">
      <c r="A3" s="9" t="inlineStr">
        <is>
          <t>Date</t>
        </is>
      </c>
      <c r="B3" s="9" t="inlineStr">
        <is>
          <t>Description</t>
        </is>
      </c>
      <c r="C3" s="9" t="inlineStr">
        <is>
          <t>Category</t>
        </is>
      </c>
      <c r="D3" s="9" t="inlineStr">
        <is>
          <t>Type</t>
        </is>
      </c>
      <c r="E3" s="9" t="inlineStr">
        <is>
          <t>Payment Method</t>
        </is>
      </c>
      <c r="F3" s="9" t="inlineStr">
        <is>
          <t>Status</t>
        </is>
      </c>
      <c r="G3" s="9" t="inlineStr">
        <is>
          <t>Income</t>
        </is>
      </c>
      <c r="H3" s="9" t="inlineStr">
        <is>
          <t>Expense</t>
        </is>
      </c>
    </row>
    <row r="4">
      <c r="A4" s="10" t="inlineStr">
        <is>
          <t>1/1/2026</t>
        </is>
      </c>
      <c r="B4" s="10" t="inlineStr">
        <is>
          <t>Salary - January</t>
        </is>
      </c>
      <c r="C4" s="10" t="inlineStr">
        <is>
          <t>Salary</t>
        </is>
      </c>
      <c r="D4" s="10" t="inlineStr">
        <is>
          <t>Income</t>
        </is>
      </c>
      <c r="E4" s="10" t="inlineStr">
        <is>
          <t>Bank Transfer</t>
        </is>
      </c>
      <c r="F4" s="10" t="inlineStr">
        <is>
          <t>Cleared</t>
        </is>
      </c>
      <c r="G4" s="11" t="n">
        <v>5000</v>
      </c>
      <c r="H4" s="11" t="n">
        <v>0</v>
      </c>
    </row>
    <row r="5">
      <c r="A5" s="13" t="inlineStr">
        <is>
          <t>1/2/2026</t>
        </is>
      </c>
      <c r="B5" s="13" t="inlineStr">
        <is>
          <t>Rent Payment</t>
        </is>
      </c>
      <c r="C5" s="13" t="inlineStr">
        <is>
          <t>Housing</t>
        </is>
      </c>
      <c r="D5" s="13" t="inlineStr">
        <is>
          <t>Expense</t>
        </is>
      </c>
      <c r="E5" s="13" t="inlineStr">
        <is>
          <t>Bank Transfer</t>
        </is>
      </c>
      <c r="F5" s="13" t="inlineStr">
        <is>
          <t>Cleared</t>
        </is>
      </c>
      <c r="G5" s="14" t="n">
        <v>0</v>
      </c>
      <c r="H5" s="14" t="n">
        <v>1200</v>
      </c>
    </row>
    <row r="6">
      <c r="A6" s="10" t="inlineStr">
        <is>
          <t>1/3/2026</t>
        </is>
      </c>
      <c r="B6" s="10" t="inlineStr">
        <is>
          <t>Groceries - Walmart</t>
        </is>
      </c>
      <c r="C6" s="10" t="inlineStr">
        <is>
          <t>Food</t>
        </is>
      </c>
      <c r="D6" s="10" t="inlineStr">
        <is>
          <t>Expense</t>
        </is>
      </c>
      <c r="E6" s="10" t="inlineStr">
        <is>
          <t>Credit Card</t>
        </is>
      </c>
      <c r="F6" s="10" t="inlineStr">
        <is>
          <t>Cleared</t>
        </is>
      </c>
      <c r="G6" s="11" t="n">
        <v>0</v>
      </c>
      <c r="H6" s="11" t="n">
        <v>350</v>
      </c>
    </row>
    <row r="7">
      <c r="A7" s="13" t="inlineStr">
        <is>
          <t>1/5/2026</t>
        </is>
      </c>
      <c r="B7" s="13" t="inlineStr">
        <is>
          <t>Gas Station</t>
        </is>
      </c>
      <c r="C7" s="13" t="inlineStr">
        <is>
          <t>Transport</t>
        </is>
      </c>
      <c r="D7" s="13" t="inlineStr">
        <is>
          <t>Expense</t>
        </is>
      </c>
      <c r="E7" s="13" t="inlineStr">
        <is>
          <t>Cash</t>
        </is>
      </c>
      <c r="F7" s="13" t="inlineStr">
        <is>
          <t>Pending</t>
        </is>
      </c>
      <c r="G7" s="14" t="n">
        <v>0</v>
      </c>
      <c r="H7" s="14" t="n">
        <v>80</v>
      </c>
    </row>
    <row r="8">
      <c r="A8" s="10" t="inlineStr">
        <is>
          <t>1/7/2026</t>
        </is>
      </c>
      <c r="B8" s="10" t="inlineStr">
        <is>
          <t>Netflix Subscription</t>
        </is>
      </c>
      <c r="C8" s="10" t="inlineStr">
        <is>
          <t>Entertainment</t>
        </is>
      </c>
      <c r="D8" s="10" t="inlineStr">
        <is>
          <t>Expense</t>
        </is>
      </c>
      <c r="E8" s="10" t="inlineStr">
        <is>
          <t>Credit Card</t>
        </is>
      </c>
      <c r="F8" s="10" t="inlineStr">
        <is>
          <t>Cleared</t>
        </is>
      </c>
      <c r="G8" s="11" t="n">
        <v>0</v>
      </c>
      <c r="H8" s="11" t="n">
        <v>15.99</v>
      </c>
    </row>
    <row r="9">
      <c r="A9" s="13" t="inlineStr">
        <is>
          <t>1/10/2026</t>
        </is>
      </c>
      <c r="B9" s="13" t="inlineStr">
        <is>
          <t>Freelance Project</t>
        </is>
      </c>
      <c r="C9" s="13" t="inlineStr">
        <is>
          <t>Freelance</t>
        </is>
      </c>
      <c r="D9" s="13" t="inlineStr">
        <is>
          <t>Income</t>
        </is>
      </c>
      <c r="E9" s="13" t="inlineStr">
        <is>
          <t>PayPal</t>
        </is>
      </c>
      <c r="F9" s="13" t="inlineStr">
        <is>
          <t>Cleared</t>
        </is>
      </c>
      <c r="G9" s="14" t="n">
        <v>1200</v>
      </c>
      <c r="H9" s="14" t="n">
        <v>0</v>
      </c>
    </row>
  </sheetData>
  <mergeCells count="1">
    <mergeCell ref="A1:H1"/>
  </mergeCells>
  <dataValidations count="1">
    <dataValidation sqref="D4:D1000" showDropDown="0" showInputMessage="0" showErrorMessage="0" allowBlank="1" errorTitle="Invalid Type" error="Select Income or Expense" type="list">
      <formula1>"Income,Expense"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cc71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</cols>
  <sheetData>
    <row r="1">
      <c r="A1" s="17" t="inlineStr">
        <is>
          <t>Category Master</t>
        </is>
      </c>
    </row>
    <row r="3">
      <c r="A3" s="9" t="inlineStr">
        <is>
          <t>Category</t>
        </is>
      </c>
      <c r="B3" s="9" t="inlineStr">
        <is>
          <t>Budget</t>
        </is>
      </c>
      <c r="C3" s="9" t="inlineStr">
        <is>
          <t>Type</t>
        </is>
      </c>
    </row>
    <row r="4">
      <c r="A4" s="10" t="inlineStr">
        <is>
          <t>Salary</t>
        </is>
      </c>
      <c r="B4" s="11" t="n">
        <v>5000</v>
      </c>
      <c r="C4" s="10" t="inlineStr">
        <is>
          <t>Income</t>
        </is>
      </c>
    </row>
    <row r="5">
      <c r="A5" s="13" t="inlineStr">
        <is>
          <t>Freelance</t>
        </is>
      </c>
      <c r="B5" s="14" t="n">
        <v>2000</v>
      </c>
      <c r="C5" s="13" t="inlineStr">
        <is>
          <t>Income</t>
        </is>
      </c>
    </row>
    <row r="6">
      <c r="A6" s="10" t="inlineStr">
        <is>
          <t>Investments</t>
        </is>
      </c>
      <c r="B6" s="11" t="n">
        <v>1000</v>
      </c>
      <c r="C6" s="10" t="inlineStr">
        <is>
          <t>Income</t>
        </is>
      </c>
    </row>
    <row r="7">
      <c r="A7" s="13" t="inlineStr">
        <is>
          <t>Housing</t>
        </is>
      </c>
      <c r="B7" s="14" t="n">
        <v>1200</v>
      </c>
      <c r="C7" s="13" t="inlineStr">
        <is>
          <t>Expense</t>
        </is>
      </c>
    </row>
    <row r="8">
      <c r="A8" s="10" t="inlineStr">
        <is>
          <t>Food</t>
        </is>
      </c>
      <c r="B8" s="11" t="n">
        <v>600</v>
      </c>
      <c r="C8" s="10" t="inlineStr">
        <is>
          <t>Expense</t>
        </is>
      </c>
    </row>
    <row r="9">
      <c r="A9" s="13" t="inlineStr">
        <is>
          <t>Transport</t>
        </is>
      </c>
      <c r="B9" s="14" t="n">
        <v>400</v>
      </c>
      <c r="C9" s="13" t="inlineStr">
        <is>
          <t>Expense</t>
        </is>
      </c>
    </row>
    <row r="10">
      <c r="A10" s="10" t="inlineStr">
        <is>
          <t>Entertainment</t>
        </is>
      </c>
      <c r="B10" s="11" t="n">
        <v>200</v>
      </c>
      <c r="C10" s="10" t="inlineStr">
        <is>
          <t>Expense</t>
        </is>
      </c>
    </row>
    <row r="11">
      <c r="A11" s="13" t="inlineStr">
        <is>
          <t>Utilities</t>
        </is>
      </c>
      <c r="B11" s="14" t="n">
        <v>300</v>
      </c>
      <c r="C11" s="13" t="inlineStr">
        <is>
          <t>Expense</t>
        </is>
      </c>
    </row>
    <row r="12">
      <c r="A12" s="10" t="inlineStr">
        <is>
          <t>Insurance</t>
        </is>
      </c>
      <c r="B12" s="11" t="n">
        <v>250</v>
      </c>
      <c r="C12" s="10" t="inlineStr">
        <is>
          <t>Expense</t>
        </is>
      </c>
    </row>
    <row r="13">
      <c r="A13" s="13" t="inlineStr">
        <is>
          <t>Savings</t>
        </is>
      </c>
      <c r="B13" s="14" t="n">
        <v>500</v>
      </c>
      <c r="C13" s="13" t="inlineStr">
        <is>
          <t>Expense</t>
        </is>
      </c>
    </row>
    <row r="14">
      <c r="A14" s="10" t="inlineStr">
        <is>
          <t>Healthcare</t>
        </is>
      </c>
      <c r="B14" s="11" t="n">
        <v>200</v>
      </c>
      <c r="C14" s="10" t="inlineStr">
        <is>
          <t>Expense</t>
        </is>
      </c>
    </row>
    <row r="15">
      <c r="A15" s="13" t="inlineStr">
        <is>
          <t>Education</t>
        </is>
      </c>
      <c r="B15" s="14" t="n">
        <v>150</v>
      </c>
      <c r="C15" s="13" t="inlineStr">
        <is>
          <t>Expense</t>
        </is>
      </c>
    </row>
    <row r="16">
      <c r="A16" s="10" t="inlineStr">
        <is>
          <t>Shopping</t>
        </is>
      </c>
      <c r="B16" s="11" t="n">
        <v>300</v>
      </c>
      <c r="C16" s="10" t="inlineStr">
        <is>
          <t>Expense</t>
        </is>
      </c>
    </row>
    <row r="17">
      <c r="A17" s="13" t="inlineStr">
        <is>
          <t>Other</t>
        </is>
      </c>
      <c r="B17" s="14" t="n">
        <v>200</v>
      </c>
      <c r="C17" s="13" t="inlineStr">
        <is>
          <t>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498db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7" t="inlineStr">
        <is>
          <t>Monthly Reports</t>
        </is>
      </c>
    </row>
    <row r="3">
      <c r="A3" s="9" t="inlineStr">
        <is>
          <t>Month</t>
        </is>
      </c>
      <c r="B3" s="9" t="inlineStr">
        <is>
          <t>Income</t>
        </is>
      </c>
      <c r="C3" s="9" t="inlineStr">
        <is>
          <t>Expenses</t>
        </is>
      </c>
      <c r="D3" s="9" t="inlineStr">
        <is>
          <t>Net</t>
        </is>
      </c>
      <c r="E3" s="9" t="inlineStr">
        <is>
          <t>Savings Rate</t>
        </is>
      </c>
    </row>
    <row r="4">
      <c r="A4" s="10" t="inlineStr">
        <is>
          <t>January</t>
        </is>
      </c>
      <c r="B4" s="11">
        <f>SUMIFS(Transactions!G:G,Transactions!A:A,"&gt;="&amp;DATE(2026,1,1),Transactions!A:A,"&lt;="&amp;DATE(2026,1,EOMONTH(DATE(2026,1,1),0)))</f>
        <v/>
      </c>
      <c r="C4" s="11">
        <f>SUMIFS(Transactions!H:H,Transactions!A:A,"&gt;="&amp;DATE(2026,1,1),Transactions!A:A,"&lt;="&amp;DATE(2026,1,EOMONTH(DATE(2026,1,1),0)))</f>
        <v/>
      </c>
      <c r="D4" s="11">
        <f>B4-C4</f>
        <v/>
      </c>
      <c r="E4" s="12">
        <f>IF(B4=0,0,D4/B4)</f>
        <v/>
      </c>
    </row>
    <row r="5">
      <c r="A5" s="13" t="inlineStr">
        <is>
          <t>February</t>
        </is>
      </c>
      <c r="B5" s="14">
        <f>SUMIFS(Transactions!G:G,Transactions!A:A,"&gt;="&amp;DATE(2026,2,1),Transactions!A:A,"&lt;="&amp;DATE(2026,2,EOMONTH(DATE(2026,2,1),0)))</f>
        <v/>
      </c>
      <c r="C5" s="14">
        <f>SUMIFS(Transactions!H:H,Transactions!A:A,"&gt;="&amp;DATE(2026,2,1),Transactions!A:A,"&lt;="&amp;DATE(2026,2,EOMONTH(DATE(2026,2,1),0)))</f>
        <v/>
      </c>
      <c r="D5" s="14">
        <f>B5-C5</f>
        <v/>
      </c>
      <c r="E5" s="15">
        <f>IF(B5=0,0,D5/B5)</f>
        <v/>
      </c>
    </row>
    <row r="6">
      <c r="A6" s="10" t="inlineStr">
        <is>
          <t>March</t>
        </is>
      </c>
      <c r="B6" s="11">
        <f>SUMIFS(Transactions!G:G,Transactions!A:A,"&gt;="&amp;DATE(2026,3,1),Transactions!A:A,"&lt;="&amp;DATE(2026,3,EOMONTH(DATE(2026,3,1),0)))</f>
        <v/>
      </c>
      <c r="C6" s="11">
        <f>SUMIFS(Transactions!H:H,Transactions!A:A,"&gt;="&amp;DATE(2026,3,1),Transactions!A:A,"&lt;="&amp;DATE(2026,3,EOMONTH(DATE(2026,3,1),0)))</f>
        <v/>
      </c>
      <c r="D6" s="11">
        <f>B6-C6</f>
        <v/>
      </c>
      <c r="E6" s="12">
        <f>IF(B6=0,0,D6/B6)</f>
        <v/>
      </c>
    </row>
    <row r="7">
      <c r="A7" s="13" t="inlineStr">
        <is>
          <t>April</t>
        </is>
      </c>
      <c r="B7" s="14">
        <f>SUMIFS(Transactions!G:G,Transactions!A:A,"&gt;="&amp;DATE(2026,4,1),Transactions!A:A,"&lt;="&amp;DATE(2026,4,EOMONTH(DATE(2026,4,1),0)))</f>
        <v/>
      </c>
      <c r="C7" s="14">
        <f>SUMIFS(Transactions!H:H,Transactions!A:A,"&gt;="&amp;DATE(2026,4,1),Transactions!A:A,"&lt;="&amp;DATE(2026,4,EOMONTH(DATE(2026,4,1),0)))</f>
        <v/>
      </c>
      <c r="D7" s="14">
        <f>B7-C7</f>
        <v/>
      </c>
      <c r="E7" s="15">
        <f>IF(B7=0,0,D7/B7)</f>
        <v/>
      </c>
    </row>
    <row r="8">
      <c r="A8" s="10" t="inlineStr">
        <is>
          <t>May</t>
        </is>
      </c>
      <c r="B8" s="11">
        <f>SUMIFS(Transactions!G:G,Transactions!A:A,"&gt;="&amp;DATE(2026,5,1),Transactions!A:A,"&lt;="&amp;DATE(2026,5,EOMONTH(DATE(2026,5,1),0)))</f>
        <v/>
      </c>
      <c r="C8" s="11">
        <f>SUMIFS(Transactions!H:H,Transactions!A:A,"&gt;="&amp;DATE(2026,5,1),Transactions!A:A,"&lt;="&amp;DATE(2026,5,EOMONTH(DATE(2026,5,1),0)))</f>
        <v/>
      </c>
      <c r="D8" s="11">
        <f>B8-C8</f>
        <v/>
      </c>
      <c r="E8" s="12">
        <f>IF(B8=0,0,D8/B8)</f>
        <v/>
      </c>
    </row>
    <row r="9">
      <c r="A9" s="13" t="inlineStr">
        <is>
          <t>June</t>
        </is>
      </c>
      <c r="B9" s="14">
        <f>SUMIFS(Transactions!G:G,Transactions!A:A,"&gt;="&amp;DATE(2026,6,1),Transactions!A:A,"&lt;="&amp;DATE(2026,6,EOMONTH(DATE(2026,6,1),0)))</f>
        <v/>
      </c>
      <c r="C9" s="14">
        <f>SUMIFS(Transactions!H:H,Transactions!A:A,"&gt;="&amp;DATE(2026,6,1),Transactions!A:A,"&lt;="&amp;DATE(2026,6,EOMONTH(DATE(2026,6,1),0)))</f>
        <v/>
      </c>
      <c r="D9" s="14">
        <f>B9-C9</f>
        <v/>
      </c>
      <c r="E9" s="15">
        <f>IF(B9=0,0,D9/B9)</f>
        <v/>
      </c>
    </row>
    <row r="10">
      <c r="A10" s="10" t="inlineStr">
        <is>
          <t>July</t>
        </is>
      </c>
      <c r="B10" s="11">
        <f>SUMIFS(Transactions!G:G,Transactions!A:A,"&gt;="&amp;DATE(2026,7,1),Transactions!A:A,"&lt;="&amp;DATE(2026,7,EOMONTH(DATE(2026,7,1),0)))</f>
        <v/>
      </c>
      <c r="C10" s="11">
        <f>SUMIFS(Transactions!H:H,Transactions!A:A,"&gt;="&amp;DATE(2026,7,1),Transactions!A:A,"&lt;="&amp;DATE(2026,7,EOMONTH(DATE(2026,7,1),0)))</f>
        <v/>
      </c>
      <c r="D10" s="11">
        <f>B10-C10</f>
        <v/>
      </c>
      <c r="E10" s="12">
        <f>IF(B10=0,0,D10/B10)</f>
        <v/>
      </c>
    </row>
    <row r="11">
      <c r="A11" s="13" t="inlineStr">
        <is>
          <t>August</t>
        </is>
      </c>
      <c r="B11" s="14">
        <f>SUMIFS(Transactions!G:G,Transactions!A:A,"&gt;="&amp;DATE(2026,8,1),Transactions!A:A,"&lt;="&amp;DATE(2026,8,EOMONTH(DATE(2026,8,1),0)))</f>
        <v/>
      </c>
      <c r="C11" s="14">
        <f>SUMIFS(Transactions!H:H,Transactions!A:A,"&gt;="&amp;DATE(2026,8,1),Transactions!A:A,"&lt;="&amp;DATE(2026,8,EOMONTH(DATE(2026,8,1),0)))</f>
        <v/>
      </c>
      <c r="D11" s="14">
        <f>B11-C11</f>
        <v/>
      </c>
      <c r="E11" s="15">
        <f>IF(B11=0,0,D11/B11)</f>
        <v/>
      </c>
    </row>
    <row r="12">
      <c r="A12" s="10" t="inlineStr">
        <is>
          <t>September</t>
        </is>
      </c>
      <c r="B12" s="11">
        <f>SUMIFS(Transactions!G:G,Transactions!A:A,"&gt;="&amp;DATE(2026,9,1),Transactions!A:A,"&lt;="&amp;DATE(2026,9,EOMONTH(DATE(2026,9,1),0)))</f>
        <v/>
      </c>
      <c r="C12" s="11">
        <f>SUMIFS(Transactions!H:H,Transactions!A:A,"&gt;="&amp;DATE(2026,9,1),Transactions!A:A,"&lt;="&amp;DATE(2026,9,EOMONTH(DATE(2026,9,1),0)))</f>
        <v/>
      </c>
      <c r="D12" s="11">
        <f>B12-C12</f>
        <v/>
      </c>
      <c r="E12" s="12">
        <f>IF(B12=0,0,D12/B12)</f>
        <v/>
      </c>
    </row>
    <row r="13">
      <c r="A13" s="13" t="inlineStr">
        <is>
          <t>October</t>
        </is>
      </c>
      <c r="B13" s="14">
        <f>SUMIFS(Transactions!G:G,Transactions!A:A,"&gt;="&amp;DATE(2026,10,1),Transactions!A:A,"&lt;="&amp;DATE(2026,10,EOMONTH(DATE(2026,10,1),0)))</f>
        <v/>
      </c>
      <c r="C13" s="14">
        <f>SUMIFS(Transactions!H:H,Transactions!A:A,"&gt;="&amp;DATE(2026,10,1),Transactions!A:A,"&lt;="&amp;DATE(2026,10,EOMONTH(DATE(2026,10,1),0)))</f>
        <v/>
      </c>
      <c r="D13" s="14">
        <f>B13-C13</f>
        <v/>
      </c>
      <c r="E13" s="15">
        <f>IF(B13=0,0,D13/B13)</f>
        <v/>
      </c>
    </row>
    <row r="14">
      <c r="A14" s="10" t="inlineStr">
        <is>
          <t>November</t>
        </is>
      </c>
      <c r="B14" s="11">
        <f>SUMIFS(Transactions!G:G,Transactions!A:A,"&gt;="&amp;DATE(2026,11,1),Transactions!A:A,"&lt;="&amp;DATE(2026,11,EOMONTH(DATE(2026,11,1),0)))</f>
        <v/>
      </c>
      <c r="C14" s="11">
        <f>SUMIFS(Transactions!H:H,Transactions!A:A,"&gt;="&amp;DATE(2026,11,1),Transactions!A:A,"&lt;="&amp;DATE(2026,11,EOMONTH(DATE(2026,11,1),0)))</f>
        <v/>
      </c>
      <c r="D14" s="11">
        <f>B14-C14</f>
        <v/>
      </c>
      <c r="E14" s="12">
        <f>IF(B14=0,0,D14/B14)</f>
        <v/>
      </c>
    </row>
    <row r="15">
      <c r="A15" s="13" t="inlineStr">
        <is>
          <t>December</t>
        </is>
      </c>
      <c r="B15" s="14">
        <f>SUMIFS(Transactions!G:G,Transactions!A:A,"&gt;="&amp;DATE(2026,12,1),Transactions!A:A,"&lt;="&amp;DATE(2026,12,EOMONTH(DATE(2026,12,1),0)))</f>
        <v/>
      </c>
      <c r="C15" s="14">
        <f>SUMIFS(Transactions!H:H,Transactions!A:A,"&gt;="&amp;DATE(2026,12,1),Transactions!A:A,"&lt;="&amp;DATE(2026,12,EOMONTH(DATE(2026,12,1),0)))</f>
        <v/>
      </c>
      <c r="D15" s="14">
        <f>B15-C15</f>
        <v/>
      </c>
      <c r="E15" s="15">
        <f>IF(B15=0,0,D15/B15)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ecc71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7" t="inlineStr">
        <is>
          <t>Savings Goals Tracker</t>
        </is>
      </c>
    </row>
    <row r="3">
      <c r="A3" s="9" t="inlineStr">
        <is>
          <t>Goal</t>
        </is>
      </c>
      <c r="B3" s="9" t="inlineStr">
        <is>
          <t>Target</t>
        </is>
      </c>
      <c r="C3" s="9" t="inlineStr">
        <is>
          <t>Saved</t>
        </is>
      </c>
      <c r="D3" s="9" t="inlineStr">
        <is>
          <t>Remaining</t>
        </is>
      </c>
      <c r="E3" s="9" t="inlineStr">
        <is>
          <t>% Complete</t>
        </is>
      </c>
      <c r="F3" s="9" t="inlineStr">
        <is>
          <t>Deadline</t>
        </is>
      </c>
    </row>
    <row r="4">
      <c r="A4" s="10" t="inlineStr">
        <is>
          <t>Emergency Fund</t>
        </is>
      </c>
      <c r="B4" s="11" t="n">
        <v>10000</v>
      </c>
      <c r="C4" s="11" t="n">
        <v>4500</v>
      </c>
      <c r="D4" s="11">
        <f>B4-C4</f>
        <v/>
      </c>
      <c r="E4" s="12">
        <f>IF(B4=0,0,C4/B4)</f>
        <v/>
      </c>
      <c r="F4" s="10" t="inlineStr">
        <is>
          <t>Dec 2026</t>
        </is>
      </c>
    </row>
    <row r="5">
      <c r="A5" s="13" t="inlineStr">
        <is>
          <t>New Car</t>
        </is>
      </c>
      <c r="B5" s="14" t="n">
        <v>25000</v>
      </c>
      <c r="C5" s="14" t="n">
        <v>5000</v>
      </c>
      <c r="D5" s="14">
        <f>B5-C5</f>
        <v/>
      </c>
      <c r="E5" s="15">
        <f>IF(B5=0,0,C5/B5)</f>
        <v/>
      </c>
      <c r="F5" s="13" t="inlineStr">
        <is>
          <t>Jun 2027</t>
        </is>
      </c>
    </row>
    <row r="6">
      <c r="A6" s="10" t="inlineStr">
        <is>
          <t>Vacation</t>
        </is>
      </c>
      <c r="B6" s="11" t="n">
        <v>5000</v>
      </c>
      <c r="C6" s="11" t="n">
        <v>2000</v>
      </c>
      <c r="D6" s="11">
        <f>B6-C6</f>
        <v/>
      </c>
      <c r="E6" s="12">
        <f>IF(B6=0,0,C6/B6)</f>
        <v/>
      </c>
      <c r="F6" s="10" t="inlineStr">
        <is>
          <t>Aug 2026</t>
        </is>
      </c>
    </row>
    <row r="7">
      <c r="A7" s="13" t="inlineStr">
        <is>
          <t>Education</t>
        </is>
      </c>
      <c r="B7" s="14" t="n">
        <v>15000</v>
      </c>
      <c r="C7" s="14" t="n">
        <v>3000</v>
      </c>
      <c r="D7" s="14">
        <f>B7-C7</f>
        <v/>
      </c>
      <c r="E7" s="15">
        <f>IF(B7=0,0,C7/B7)</f>
        <v/>
      </c>
      <c r="F7" s="13" t="inlineStr">
        <is>
          <t>Jan 2028</t>
        </is>
      </c>
    </row>
  </sheetData>
  <conditionalFormatting sqref="E4">
    <cfRule type="dataBar" priority="1">
      <dataBar>
        <cfvo type="min"/>
        <cfvo type="max"/>
        <color rgb="00e94560"/>
      </dataBar>
    </cfRule>
  </conditionalFormatting>
  <conditionalFormatting sqref="E5">
    <cfRule type="dataBar" priority="2">
      <dataBar>
        <cfvo type="min"/>
        <cfvo type="max"/>
        <color rgb="00e94560"/>
      </dataBar>
    </cfRule>
  </conditionalFormatting>
  <conditionalFormatting sqref="E6">
    <cfRule type="dataBar" priority="3">
      <dataBar>
        <cfvo type="min"/>
        <cfvo type="max"/>
        <color rgb="00e94560"/>
      </dataBar>
    </cfRule>
  </conditionalFormatting>
  <conditionalFormatting sqref="E7">
    <cfRule type="dataBar" priority="4">
      <dataBar>
        <cfvo type="min"/>
        <cfvo type="max"/>
        <color rgb="00e9456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88888"/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6" t="inlineStr">
        <is>
          <t>How to Use This Template</t>
        </is>
      </c>
    </row>
    <row r="3">
      <c r="A3" s="18" t="inlineStr">
        <is>
          <t>📌 PERSONAL FINANCE MANAGER - USER GUIDE</t>
        </is>
      </c>
    </row>
    <row r="4">
      <c r="A4" t="inlineStr"/>
    </row>
    <row r="5">
      <c r="A5" s="19" t="inlineStr">
        <is>
          <t>1. TRANSACTIONS SHEET</t>
        </is>
      </c>
    </row>
    <row r="6">
      <c r="A6" t="inlineStr">
        <is>
          <t xml:space="preserve">   - Log all your income and expenses here</t>
        </is>
      </c>
    </row>
    <row r="7">
      <c r="A7" t="inlineStr">
        <is>
          <t xml:space="preserve">   - Select Type: Income or Expense</t>
        </is>
      </c>
    </row>
    <row r="8">
      <c r="A8" t="inlineStr">
        <is>
          <t xml:space="preserve">   - Income goes in column G, Expense in column H</t>
        </is>
      </c>
    </row>
    <row r="9">
      <c r="A9" t="inlineStr">
        <is>
          <t xml:space="preserve">   - Use the dropdown for transaction type</t>
        </is>
      </c>
    </row>
    <row r="10">
      <c r="A10" t="inlineStr"/>
    </row>
    <row r="11">
      <c r="A11" s="19" t="inlineStr">
        <is>
          <t>2. CATEGORIES SHEET</t>
        </is>
      </c>
    </row>
    <row r="12">
      <c r="A12" t="inlineStr">
        <is>
          <t xml:space="preserve">   - Edit/add your custom categories here</t>
        </is>
      </c>
    </row>
    <row r="13">
      <c r="A13" t="inlineStr">
        <is>
          <t xml:space="preserve">   - Set monthly budget for each expense category</t>
        </is>
      </c>
    </row>
    <row r="14">
      <c r="A14" t="inlineStr">
        <is>
          <t xml:space="preserve">   - Categories drive the reports and dashboard</t>
        </is>
      </c>
    </row>
    <row r="15">
      <c r="A15" t="inlineStr"/>
    </row>
    <row r="16">
      <c r="A16" s="19" t="inlineStr">
        <is>
          <t>3. DASHBOARD</t>
        </is>
      </c>
    </row>
    <row r="17">
      <c r="A17" t="inlineStr">
        <is>
          <t xml:space="preserve">   - Auto-updates with your data</t>
        </is>
      </c>
    </row>
    <row r="18">
      <c r="A18" t="inlineStr">
        <is>
          <t xml:space="preserve">   - See pie chart of expenses by category</t>
        </is>
      </c>
    </row>
    <row r="19">
      <c r="A19" t="inlineStr">
        <is>
          <t xml:space="preserve">   - Track budget vs actual spending</t>
        </is>
      </c>
    </row>
    <row r="20">
      <c r="A20" t="inlineStr">
        <is>
          <t xml:space="preserve">   - Monitor your net savings</t>
        </is>
      </c>
    </row>
    <row r="21">
      <c r="A21" t="inlineStr"/>
    </row>
    <row r="22">
      <c r="A22" s="19" t="inlineStr">
        <is>
          <t>4. MONTHLY SUMMARY</t>
        </is>
      </c>
    </row>
    <row r="23">
      <c r="A23" t="inlineStr">
        <is>
          <t xml:space="preserve">   - View income/expense trends month by month</t>
        </is>
      </c>
    </row>
    <row r="24">
      <c r="A24" t="inlineStr">
        <is>
          <t xml:space="preserve">   - Bar chart shows visual comparison</t>
        </is>
      </c>
    </row>
    <row r="25">
      <c r="A25" t="inlineStr">
        <is>
          <t xml:space="preserve">   - Track your savings rate over time</t>
        </is>
      </c>
    </row>
    <row r="26">
      <c r="A26" t="inlineStr"/>
    </row>
    <row r="27">
      <c r="A27" s="19" t="inlineStr">
        <is>
          <t>5. SAVINGS GOALS</t>
        </is>
      </c>
    </row>
    <row r="28">
      <c r="A28" t="inlineStr">
        <is>
          <t xml:space="preserve">   - Set financial goals with target amounts</t>
        </is>
      </c>
    </row>
    <row r="29">
      <c r="A29" t="inlineStr">
        <is>
          <t xml:space="preserve">   - Track progress with visual data bars</t>
        </is>
      </c>
    </row>
    <row r="30">
      <c r="A30" t="inlineStr">
        <is>
          <t xml:space="preserve">   - See percentage complete automatically</t>
        </is>
      </c>
    </row>
    <row r="31">
      <c r="A31" t="inlineStr"/>
    </row>
    <row r="32">
      <c r="A32" s="18" t="inlineStr">
        <is>
          <t>💡 Pro Tips:</t>
        </is>
      </c>
    </row>
    <row r="33">
      <c r="A33" t="inlineStr">
        <is>
          <t xml:space="preserve">   - Filter transactions by category or type</t>
        </is>
      </c>
    </row>
    <row r="34">
      <c r="A34" t="inlineStr">
        <is>
          <t xml:space="preserve">   - Use PivotTables for deeper analysis</t>
        </is>
      </c>
    </row>
    <row r="35">
      <c r="A35" t="inlineStr">
        <is>
          <t xml:space="preserve">   - Save a backup monthly</t>
        </is>
      </c>
    </row>
    <row r="36">
      <c r="A36" t="inlineStr">
        <is>
          <t xml:space="preserve">   - Customize categories to your lifestyle</t>
        </is>
      </c>
    </row>
    <row r="37">
      <c r="A37" t="inlineStr"/>
    </row>
    <row r="38">
      <c r="A38" s="20" t="inlineStr">
        <is>
          <t>Created by SystemsAcevedo © 2026</t>
        </is>
      </c>
    </row>
    <row r="39">
      <c r="A39" t="inlineStr">
        <is>
          <t>Contact: acevedomoradavid433@gmail.com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2026-06-16T21:43:17Z</dcterms:created>
  <dcterms:modified xsi:type="dcterms:W3CDTF">2026-06-16T21:43:17Z</dcterms:modified>
</cp:coreProperties>
</file>